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_rels/externalLink1.xml.rels" ContentType="application/vnd.openxmlformats-package.relationship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ratification metrics" sheetId="1" state="visible" r:id="rId3"/>
    <sheet name="pool" sheetId="2" state="visible" r:id="rId4"/>
  </sheets>
  <externalReferences>
    <externalReference r:id="rId5"/>
  </externalReferenc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<sst xmlns="http://schemas.openxmlformats.org/spreadsheetml/2006/main" count="50" uniqueCount="31">
  <si>
    <t xml:space="preserve">Criterion</t>
  </si>
  <si>
    <t xml:space="preserve">Option</t>
  </si>
  <si>
    <t xml:space="preserve">Proportion</t>
  </si>
  <si>
    <t xml:space="preserve">gender</t>
  </si>
  <si>
    <t xml:space="preserve">Female</t>
  </si>
  <si>
    <t xml:space="preserve">Male</t>
  </si>
  <si>
    <t xml:space="preserve">Other gender or no gender</t>
  </si>
  <si>
    <t xml:space="preserve">age_group</t>
  </si>
  <si>
    <t xml:space="preserve">under 25</t>
  </si>
  <si>
    <t xml:space="preserve">25-39</t>
  </si>
  <si>
    <t xml:space="preserve">40-59</t>
  </si>
  <si>
    <t xml:space="preserve">60 or older</t>
  </si>
  <si>
    <t xml:space="preserve">education_years</t>
  </si>
  <si>
    <t xml:space="preserve">0-6</t>
  </si>
  <si>
    <t xml:space="preserve">7-12</t>
  </si>
  <si>
    <t xml:space="preserve">&gt;12</t>
  </si>
  <si>
    <t xml:space="preserve">settlement_type</t>
  </si>
  <si>
    <t xml:space="preserve">Urban centre (city or large town)</t>
  </si>
  <si>
    <t xml:space="preserve">Medium town or suburb</t>
  </si>
  <si>
    <t xml:space="preserve">Village or dispersed rural area</t>
  </si>
  <si>
    <t xml:space="preserve">topic_question</t>
  </si>
  <si>
    <t xml:space="preserve">Extremely worried</t>
  </si>
  <si>
    <t xml:space="preserve">Very worried</t>
  </si>
  <si>
    <t xml:space="preserve">Somewhat worried</t>
  </si>
  <si>
    <t xml:space="preserve">Not very worried</t>
  </si>
  <si>
    <t xml:space="preserve">Not at all worried</t>
  </si>
  <si>
    <t xml:space="preserve">Dont know</t>
  </si>
  <si>
    <t xml:space="preserve">region</t>
  </si>
  <si>
    <t xml:space="preserve">map_point</t>
  </si>
  <si>
    <t xml:space="preserve">person_number</t>
  </si>
  <si>
    <t xml:space="preserve">name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</si>
</sst>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0000000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externalLink" Target="externalLinks/externalLink1.xml"/><Relationship Id="rId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DEMOGRAPHIC_LOTTERY/resources/Stratification_metric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gender"/>
      <sheetName val="age_group"/>
      <sheetName val="education_years"/>
      <sheetName val="settlement_type"/>
      <sheetName val="topic_question"/>
      <sheetName val="computable_format"/>
    </sheetNames>
    <sheetDataSet>
      <sheetData sheetId="0">
        <row r="5">
          <cell r="B5">
            <v>0.49</v>
          </cell>
        </row>
        <row r="6">
          <cell r="B6">
            <v>0.49</v>
          </cell>
        </row>
        <row r="7">
          <cell r="B7">
            <v>0.02</v>
          </cell>
        </row>
        <row r="10">
          <cell r="B10">
            <v>0.2050272703</v>
          </cell>
        </row>
        <row r="11">
          <cell r="B11">
            <v>0.2894506332</v>
          </cell>
        </row>
        <row r="12">
          <cell r="B12">
            <v>0.3099021431</v>
          </cell>
        </row>
        <row r="13">
          <cell r="B13">
            <v>0.1956199534</v>
          </cell>
        </row>
        <row r="16">
          <cell r="B16">
            <v>0.3160303949</v>
          </cell>
        </row>
        <row r="17">
          <cell r="B17">
            <v>0.4990089326</v>
          </cell>
        </row>
        <row r="18">
          <cell r="B18">
            <v>0.1849606725</v>
          </cell>
        </row>
        <row r="21">
          <cell r="B21">
            <v>0.4527622988</v>
          </cell>
        </row>
        <row r="22">
          <cell r="B22">
            <v>0.3522175529</v>
          </cell>
        </row>
        <row r="23">
          <cell r="B23">
            <v>0.1950201483</v>
          </cell>
        </row>
        <row r="26">
          <cell r="B26">
            <v>0.13</v>
          </cell>
        </row>
        <row r="27">
          <cell r="B27">
            <v>0.29</v>
          </cell>
        </row>
        <row r="28">
          <cell r="B28">
            <v>0.34</v>
          </cell>
        </row>
        <row r="29">
          <cell r="B29">
            <v>0.13</v>
          </cell>
        </row>
        <row r="30">
          <cell r="B30">
            <v>0.1</v>
          </cell>
        </row>
        <row r="31">
          <cell r="B31">
            <v>0.01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2" t="s">
        <v>3</v>
      </c>
      <c r="B2" s="2" t="s">
        <v>4</v>
      </c>
      <c r="C2" s="2" t="n">
        <f aca="false">[1]Summary!B5</f>
        <v>0.49</v>
      </c>
    </row>
    <row r="3" customFormat="false" ht="13.8" hidden="false" customHeight="false" outlineLevel="0" collapsed="false">
      <c r="A3" s="2" t="s">
        <v>3</v>
      </c>
      <c r="B3" s="2" t="s">
        <v>5</v>
      </c>
      <c r="C3" s="2" t="n">
        <f aca="false">[1]Summary!B6</f>
        <v>0.49</v>
      </c>
    </row>
    <row r="4" customFormat="false" ht="13.8" hidden="false" customHeight="false" outlineLevel="0" collapsed="false">
      <c r="A4" s="2" t="s">
        <v>3</v>
      </c>
      <c r="B4" s="2" t="s">
        <v>6</v>
      </c>
      <c r="C4" s="2" t="n">
        <f aca="false">[1]Summary!B7</f>
        <v>0.02</v>
      </c>
    </row>
    <row r="5" customFormat="false" ht="13.8" hidden="false" customHeight="false" outlineLevel="0" collapsed="false">
      <c r="A5" s="2" t="s">
        <v>7</v>
      </c>
      <c r="B5" s="2" t="s">
        <v>8</v>
      </c>
      <c r="C5" s="2" t="n">
        <f aca="false">[1]Summary!B10</f>
        <v>0.2050272703</v>
      </c>
    </row>
    <row r="6" customFormat="false" ht="13.8" hidden="false" customHeight="false" outlineLevel="0" collapsed="false">
      <c r="A6" s="2" t="s">
        <v>7</v>
      </c>
      <c r="B6" s="2" t="s">
        <v>9</v>
      </c>
      <c r="C6" s="2" t="n">
        <f aca="false">[1]Summary!B11</f>
        <v>0.2894506332</v>
      </c>
    </row>
    <row r="7" customFormat="false" ht="13.8" hidden="false" customHeight="false" outlineLevel="0" collapsed="false">
      <c r="A7" s="2" t="s">
        <v>7</v>
      </c>
      <c r="B7" s="2" t="s">
        <v>10</v>
      </c>
      <c r="C7" s="2" t="n">
        <f aca="false">[1]Summary!B12</f>
        <v>0.3099021431</v>
      </c>
    </row>
    <row r="8" customFormat="false" ht="13.8" hidden="false" customHeight="false" outlineLevel="0" collapsed="false">
      <c r="A8" s="2" t="s">
        <v>7</v>
      </c>
      <c r="B8" s="2" t="s">
        <v>11</v>
      </c>
      <c r="C8" s="2" t="n">
        <f aca="false">[1]Summary!B13</f>
        <v>0.1956199534</v>
      </c>
    </row>
    <row r="9" customFormat="false" ht="13.8" hidden="false" customHeight="false" outlineLevel="0" collapsed="false">
      <c r="A9" s="2" t="s">
        <v>12</v>
      </c>
      <c r="B9" s="2" t="s">
        <v>13</v>
      </c>
      <c r="C9" s="2" t="n">
        <f aca="false">[1]Summary!B16</f>
        <v>0.3160303949</v>
      </c>
    </row>
    <row r="10" customFormat="false" ht="13.8" hidden="false" customHeight="false" outlineLevel="0" collapsed="false">
      <c r="A10" s="2" t="s">
        <v>12</v>
      </c>
      <c r="B10" s="3" t="s">
        <v>14</v>
      </c>
      <c r="C10" s="2" t="n">
        <f aca="false">[1]Summary!B17</f>
        <v>0.4990089326</v>
      </c>
    </row>
    <row r="11" customFormat="false" ht="13.8" hidden="false" customHeight="false" outlineLevel="0" collapsed="false">
      <c r="A11" s="2" t="s">
        <v>12</v>
      </c>
      <c r="B11" s="2" t="s">
        <v>15</v>
      </c>
      <c r="C11" s="2" t="n">
        <f aca="false">[1]Summary!B18</f>
        <v>0.1849606725</v>
      </c>
    </row>
    <row r="12" customFormat="false" ht="13.8" hidden="false" customHeight="false" outlineLevel="0" collapsed="false">
      <c r="A12" s="2" t="s">
        <v>16</v>
      </c>
      <c r="B12" s="2" t="s">
        <v>17</v>
      </c>
      <c r="C12" s="4" t="n">
        <f aca="false">[1]Summary!B21</f>
        <v>0.4527622988</v>
      </c>
    </row>
    <row r="13" customFormat="false" ht="13.8" hidden="false" customHeight="false" outlineLevel="0" collapsed="false">
      <c r="A13" s="2" t="s">
        <v>16</v>
      </c>
      <c r="B13" s="2" t="s">
        <v>18</v>
      </c>
      <c r="C13" s="4" t="n">
        <f aca="false">[1]Summary!B22</f>
        <v>0.3522175529</v>
      </c>
    </row>
    <row r="14" customFormat="false" ht="13.8" hidden="false" customHeight="false" outlineLevel="0" collapsed="false">
      <c r="A14" s="2" t="s">
        <v>16</v>
      </c>
      <c r="B14" s="2" t="s">
        <v>19</v>
      </c>
      <c r="C14" s="4" t="n">
        <f aca="false">[1]Summary!B23</f>
        <v>0.1950201483</v>
      </c>
    </row>
    <row r="15" customFormat="false" ht="13.8" hidden="false" customHeight="false" outlineLevel="0" collapsed="false">
      <c r="A15" s="2" t="s">
        <v>20</v>
      </c>
      <c r="B15" s="2" t="s">
        <v>21</v>
      </c>
      <c r="C15" s="2" t="n">
        <f aca="false">[1]Summary!B26</f>
        <v>0.13</v>
      </c>
    </row>
    <row r="16" customFormat="false" ht="13.8" hidden="false" customHeight="false" outlineLevel="0" collapsed="false">
      <c r="A16" s="2" t="s">
        <v>20</v>
      </c>
      <c r="B16" s="2" t="s">
        <v>22</v>
      </c>
      <c r="C16" s="2" t="n">
        <f aca="false">[1]Summary!B27</f>
        <v>0.29</v>
      </c>
    </row>
    <row r="17" customFormat="false" ht="13.8" hidden="false" customHeight="false" outlineLevel="0" collapsed="false">
      <c r="A17" s="2" t="s">
        <v>20</v>
      </c>
      <c r="B17" s="2" t="s">
        <v>23</v>
      </c>
      <c r="C17" s="2" t="n">
        <f aca="false">[1]Summary!B28</f>
        <v>0.34</v>
      </c>
    </row>
    <row r="18" customFormat="false" ht="13.8" hidden="false" customHeight="false" outlineLevel="0" collapsed="false">
      <c r="A18" s="2" t="s">
        <v>20</v>
      </c>
      <c r="B18" s="2" t="s">
        <v>24</v>
      </c>
      <c r="C18" s="2" t="n">
        <f aca="false">[1]Summary!B29</f>
        <v>0.13</v>
      </c>
    </row>
    <row r="19" customFormat="false" ht="13.8" hidden="false" customHeight="false" outlineLevel="0" collapsed="false">
      <c r="A19" s="2" t="s">
        <v>20</v>
      </c>
      <c r="B19" s="2" t="s">
        <v>25</v>
      </c>
      <c r="C19" s="2" t="n">
        <f aca="false">[1]Summary!B30</f>
        <v>0.1</v>
      </c>
    </row>
    <row r="20" customFormat="false" ht="13.8" hidden="false" customHeight="false" outlineLevel="0" collapsed="false">
      <c r="A20" s="2" t="s">
        <v>20</v>
      </c>
      <c r="B20" s="2" t="s">
        <v>26</v>
      </c>
      <c r="C20" s="2" t="n">
        <f aca="false">[1]Summary!B31</f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H11" activeCellId="0" sqref="H11"/>
    </sheetView>
  </sheetViews>
  <sheetFormatPr defaultColWidth="11.53515625" defaultRowHeight="12.8" customHeight="true" zeroHeight="false" outlineLevelRow="0" outlineLevelCol="0"/>
  <sheetData>
    <row r="1" customFormat="false" ht="23.55" hidden="false" customHeight="false" outlineLevel="0" collapsed="false">
      <c r="A1" s="5" t="s">
        <v>27</v>
      </c>
      <c r="B1" s="5" t="s">
        <v>28</v>
      </c>
      <c r="C1" s="5" t="s">
        <v>29</v>
      </c>
      <c r="D1" s="5" t="s">
        <v>30</v>
      </c>
      <c r="E1" s="5" t="s">
        <v>3</v>
      </c>
      <c r="F1" s="5" t="s">
        <v>7</v>
      </c>
      <c r="G1" s="5" t="s">
        <v>12</v>
      </c>
      <c r="H1" s="5" t="s">
        <v>16</v>
      </c>
      <c r="I1" s="5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2026-02-13T17:12:55Z</dcterms:created>
  <dc:creator/>
  <dc:description/>
  <dc:language>en-GB</dc:language>
  <cp:lastModifiedBy/>
  <dcterms:modified xsi:type="dcterms:W3CDTF">2026-02-13T17:14:21Z</dcterms:modified>
  <cp:revision>1</cp:revision>
  <dc:subject/>
  <dc:title/>
</cp:coreProperties>
</file>